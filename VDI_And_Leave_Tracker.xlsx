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DI_Issue_Tracker" sheetId="1" state="visible" r:id="rId1"/>
    <sheet xmlns:r="http://schemas.openxmlformats.org/officeDocument/2006/relationships" name="Leave_Tracker" sheetId="2" state="visible" r:id="rId2"/>
    <sheet xmlns:r="http://schemas.openxmlformats.org/officeDocument/2006/relationships" name="Summary_Dashboar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38761D"/>
        <bgColor rgb="0038761D"/>
      </patternFill>
    </fill>
    <fill>
      <patternFill patternType="solid">
        <fgColor rgb="005B2C6F"/>
        <bgColor rgb="005B2C6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1" fillId="4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FFC7CE"/>
          <bgColor rgb="00FFC7CE"/>
        </patternFill>
      </fill>
    </dxf>
    <dxf>
      <fill>
        <patternFill patternType="solid">
          <fgColor rgb="00FFEB9C"/>
          <bgColor rgb="00FFEB9C"/>
        </patternFill>
      </fill>
    </dxf>
    <dxf>
      <fill>
        <patternFill patternType="solid">
          <fgColor rgb="00C6EFCE"/>
          <b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VDITable" displayName="VDITable" ref="A1:N4" headerRowCount="1">
  <autoFilter ref="A1:N4"/>
  <tableColumns count="14">
    <tableColumn id="1" name="Ticket_ID"/>
    <tableColumn id="2" name="Date"/>
    <tableColumn id="3" name="Employee_Name"/>
    <tableColumn id="4" name="Team"/>
    <tableColumn id="5" name="Issue_Type"/>
    <tableColumn id="6" name="Issue_Description"/>
    <tableColumn id="7" name="Start_Time"/>
    <tableColumn id="8" name="End_Time"/>
    <tableColumn id="9" name="Downtime_Minutes"/>
    <tableColumn id="10" name="Severity"/>
    <tableColumn id="11" name="Status"/>
    <tableColumn id="12" name="Resolution"/>
    <tableColumn id="13" name="IT_Owner"/>
    <tableColumn id="14" name="Comments"/>
  </tableColumns>
  <tableStyleInfo name="TableStyleMedium9" showRowStripes="1"/>
</table>
</file>

<file path=xl/tables/table2.xml><?xml version="1.0" encoding="utf-8"?>
<table xmlns="http://schemas.openxmlformats.org/spreadsheetml/2006/main" id="2" name="LeaveTable" displayName="LeaveTable" ref="A1:K4" headerRowCount="1">
  <autoFilter ref="A1:K4"/>
  <tableColumns count="11">
    <tableColumn id="1" name="Employee_ID"/>
    <tableColumn id="2" name="Employee_Name"/>
    <tableColumn id="3" name="Team"/>
    <tableColumn id="4" name="Leave_Type"/>
    <tableColumn id="5" name="Start_Date"/>
    <tableColumn id="6" name="End_Date"/>
    <tableColumn id="7" name="No_of_Days"/>
    <tableColumn id="8" name="Reason"/>
    <tableColumn id="9" name="Approval_Status"/>
    <tableColumn id="10" name="Manager_Name"/>
    <tableColumn id="11" name="Comments"/>
  </tableColumns>
  <tableStyleInfo name="TableStyleMedium4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8" customWidth="1" min="3" max="3"/>
    <col width="20" customWidth="1" min="4" max="4"/>
    <col width="21" customWidth="1" min="5" max="5"/>
    <col width="35" customWidth="1" min="6" max="6"/>
    <col width="15" customWidth="1" min="7" max="7"/>
    <col width="13" customWidth="1" min="8" max="8"/>
    <col width="21" customWidth="1" min="9" max="9"/>
    <col width="13" customWidth="1" min="10" max="10"/>
    <col width="16" customWidth="1" min="11" max="11"/>
    <col width="18" customWidth="1" min="12" max="12"/>
    <col width="15" customWidth="1" min="13" max="13"/>
    <col width="13" customWidth="1" min="14" max="14"/>
  </cols>
  <sheetData>
    <row r="1">
      <c r="A1" s="1" t="inlineStr">
        <is>
          <t>Ticket_ID</t>
        </is>
      </c>
      <c r="B1" s="1" t="inlineStr">
        <is>
          <t>Date</t>
        </is>
      </c>
      <c r="C1" s="1" t="inlineStr">
        <is>
          <t>Employee_Name</t>
        </is>
      </c>
      <c r="D1" s="1" t="inlineStr">
        <is>
          <t>Team</t>
        </is>
      </c>
      <c r="E1" s="1" t="inlineStr">
        <is>
          <t>Issue_Type</t>
        </is>
      </c>
      <c r="F1" s="1" t="inlineStr">
        <is>
          <t>Issue_Description</t>
        </is>
      </c>
      <c r="G1" s="1" t="inlineStr">
        <is>
          <t>Start_Time</t>
        </is>
      </c>
      <c r="H1" s="1" t="inlineStr">
        <is>
          <t>End_Time</t>
        </is>
      </c>
      <c r="I1" s="1" t="inlineStr">
        <is>
          <t>Downtime_Minutes</t>
        </is>
      </c>
      <c r="J1" s="1" t="inlineStr">
        <is>
          <t>Severity</t>
        </is>
      </c>
      <c r="K1" s="1" t="inlineStr">
        <is>
          <t>Status</t>
        </is>
      </c>
      <c r="L1" s="1" t="inlineStr">
        <is>
          <t>Resolution</t>
        </is>
      </c>
      <c r="M1" s="1" t="inlineStr">
        <is>
          <t>IT_Owner</t>
        </is>
      </c>
      <c r="N1" s="1" t="inlineStr">
        <is>
          <t>Comments</t>
        </is>
      </c>
    </row>
    <row r="2">
      <c r="A2" t="n">
        <v>1</v>
      </c>
      <c r="B2" t="inlineStr">
        <is>
          <t>2026-05-19</t>
        </is>
      </c>
      <c r="C2" t="inlineStr">
        <is>
          <t>Dip Das</t>
        </is>
      </c>
      <c r="D2" t="inlineStr">
        <is>
          <t>Fraud Analytics</t>
        </is>
      </c>
      <c r="E2" t="inlineStr">
        <is>
          <t>Black Screen</t>
        </is>
      </c>
      <c r="F2" t="inlineStr">
        <is>
          <t>VDI turned black after login</t>
        </is>
      </c>
      <c r="G2" t="inlineStr">
        <is>
          <t>10:00</t>
        </is>
      </c>
      <c r="H2" t="inlineStr">
        <is>
          <t>10:45</t>
        </is>
      </c>
      <c r="I2" t="n">
        <v>45</v>
      </c>
      <c r="J2" t="inlineStr">
        <is>
          <t>High</t>
        </is>
      </c>
      <c r="K2" t="inlineStr">
        <is>
          <t>Resolved</t>
        </is>
      </c>
      <c r="L2" t="inlineStr">
        <is>
          <t>Restarted VDI</t>
        </is>
      </c>
      <c r="M2" t="inlineStr">
        <is>
          <t>IT Support</t>
        </is>
      </c>
      <c r="N2" t="inlineStr"/>
    </row>
    <row r="3">
      <c r="A3" t="n">
        <v>2</v>
      </c>
      <c r="B3" t="inlineStr">
        <is>
          <t>2026-05-19</t>
        </is>
      </c>
      <c r="C3" t="inlineStr">
        <is>
          <t>Amit Roy</t>
        </is>
      </c>
      <c r="D3" t="inlineStr">
        <is>
          <t>Fraud Analytics</t>
        </is>
      </c>
      <c r="E3" t="inlineStr">
        <is>
          <t>Disconnect</t>
        </is>
      </c>
      <c r="F3" t="inlineStr">
        <is>
          <t>VDI disconnected automatically</t>
        </is>
      </c>
      <c r="G3" t="inlineStr">
        <is>
          <t>11:00</t>
        </is>
      </c>
      <c r="H3" t="inlineStr">
        <is>
          <t>11:30</t>
        </is>
      </c>
      <c r="I3" t="n">
        <v>30</v>
      </c>
      <c r="J3" t="inlineStr">
        <is>
          <t>Medium</t>
        </is>
      </c>
      <c r="K3" t="inlineStr">
        <is>
          <t>Open</t>
        </is>
      </c>
      <c r="L3" t="inlineStr"/>
      <c r="M3" t="inlineStr">
        <is>
          <t>Infra Team</t>
        </is>
      </c>
      <c r="N3" t="inlineStr"/>
    </row>
    <row r="4">
      <c r="A4" t="n">
        <v>3</v>
      </c>
      <c r="B4" t="inlineStr">
        <is>
          <t>2026-05-20</t>
        </is>
      </c>
      <c r="C4" t="inlineStr">
        <is>
          <t>Sneha Paul</t>
        </is>
      </c>
      <c r="D4" t="inlineStr">
        <is>
          <t>Fraud Analytics</t>
        </is>
      </c>
      <c r="E4" t="inlineStr">
        <is>
          <t>Slow Performance</t>
        </is>
      </c>
      <c r="F4" t="inlineStr">
        <is>
          <t>VDI freezing frequently</t>
        </is>
      </c>
      <c r="G4" t="inlineStr">
        <is>
          <t>09:00</t>
        </is>
      </c>
      <c r="H4" t="inlineStr">
        <is>
          <t>09:50</t>
        </is>
      </c>
      <c r="I4" t="n">
        <v>50</v>
      </c>
      <c r="J4" t="inlineStr">
        <is>
          <t>Low</t>
        </is>
      </c>
      <c r="K4" t="inlineStr">
        <is>
          <t>In Progress</t>
        </is>
      </c>
      <c r="L4" t="inlineStr"/>
      <c r="M4" t="inlineStr">
        <is>
          <t>IT Support</t>
        </is>
      </c>
      <c r="N4" t="inlineStr"/>
    </row>
  </sheetData>
  <conditionalFormatting sqref="J2:J1000">
    <cfRule type="cellIs" priority="1" operator="equal" dxfId="0">
      <formula>"High"</formula>
    </cfRule>
  </conditionalFormatting>
  <conditionalFormatting sqref="K2:K1000">
    <cfRule type="cellIs" priority="2" operator="equal" dxfId="1">
      <formula>"Open"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18" customWidth="1" min="4" max="4"/>
    <col width="15" customWidth="1" min="5" max="5"/>
    <col width="15" customWidth="1" min="6" max="6"/>
    <col width="15" customWidth="1" min="7" max="7"/>
    <col width="18" customWidth="1" min="8" max="8"/>
    <col width="20" customWidth="1" min="9" max="9"/>
    <col width="17" customWidth="1" min="10" max="10"/>
    <col width="13" customWidth="1" min="11" max="11"/>
  </cols>
  <sheetData>
    <row r="1">
      <c r="A1" s="2" t="inlineStr">
        <is>
          <t>Employee_ID</t>
        </is>
      </c>
      <c r="B1" s="2" t="inlineStr">
        <is>
          <t>Employee_Name</t>
        </is>
      </c>
      <c r="C1" s="2" t="inlineStr">
        <is>
          <t>Team</t>
        </is>
      </c>
      <c r="D1" s="2" t="inlineStr">
        <is>
          <t>Leave_Type</t>
        </is>
      </c>
      <c r="E1" s="2" t="inlineStr">
        <is>
          <t>Start_Date</t>
        </is>
      </c>
      <c r="F1" s="2" t="inlineStr">
        <is>
          <t>End_Date</t>
        </is>
      </c>
      <c r="G1" s="2" t="inlineStr">
        <is>
          <t>No_of_Days</t>
        </is>
      </c>
      <c r="H1" s="2" t="inlineStr">
        <is>
          <t>Reason</t>
        </is>
      </c>
      <c r="I1" s="2" t="inlineStr">
        <is>
          <t>Approval_Status</t>
        </is>
      </c>
      <c r="J1" s="2" t="inlineStr">
        <is>
          <t>Manager_Name</t>
        </is>
      </c>
      <c r="K1" s="2" t="inlineStr">
        <is>
          <t>Comments</t>
        </is>
      </c>
    </row>
    <row r="2">
      <c r="A2" t="n">
        <v>101</v>
      </c>
      <c r="B2" t="inlineStr">
        <is>
          <t>Dip Das</t>
        </is>
      </c>
      <c r="C2" t="inlineStr">
        <is>
          <t>Fraud Analytics</t>
        </is>
      </c>
      <c r="D2" t="inlineStr">
        <is>
          <t>Sick Leave</t>
        </is>
      </c>
      <c r="E2" t="inlineStr">
        <is>
          <t>2026-05-21</t>
        </is>
      </c>
      <c r="F2" t="inlineStr">
        <is>
          <t>2026-05-22</t>
        </is>
      </c>
      <c r="G2" t="n">
        <v>2</v>
      </c>
      <c r="H2" t="inlineStr">
        <is>
          <t>Health issue</t>
        </is>
      </c>
      <c r="I2" t="inlineStr">
        <is>
          <t>Approved</t>
        </is>
      </c>
      <c r="J2" t="inlineStr">
        <is>
          <t>Manager A</t>
        </is>
      </c>
      <c r="K2" t="inlineStr"/>
    </row>
    <row r="3">
      <c r="A3" t="n">
        <v>102</v>
      </c>
      <c r="B3" t="inlineStr">
        <is>
          <t>Amit Roy</t>
        </is>
      </c>
      <c r="C3" t="inlineStr">
        <is>
          <t>Fraud Analytics</t>
        </is>
      </c>
      <c r="D3" t="inlineStr">
        <is>
          <t>Casual Leave</t>
        </is>
      </c>
      <c r="E3" t="inlineStr">
        <is>
          <t>2026-05-25</t>
        </is>
      </c>
      <c r="F3" t="inlineStr">
        <is>
          <t>2026-05-25</t>
        </is>
      </c>
      <c r="G3" t="n">
        <v>1</v>
      </c>
      <c r="H3" t="inlineStr">
        <is>
          <t>Personal work</t>
        </is>
      </c>
      <c r="I3" t="inlineStr">
        <is>
          <t>Pending</t>
        </is>
      </c>
      <c r="J3" t="inlineStr">
        <is>
          <t>Manager A</t>
        </is>
      </c>
      <c r="K3" t="inlineStr"/>
    </row>
    <row r="4">
      <c r="A4" t="n">
        <v>103</v>
      </c>
      <c r="B4" t="inlineStr">
        <is>
          <t>Sneha Paul</t>
        </is>
      </c>
      <c r="C4" t="inlineStr">
        <is>
          <t>Fraud Analytics</t>
        </is>
      </c>
      <c r="D4" t="inlineStr">
        <is>
          <t>Planned Leave</t>
        </is>
      </c>
      <c r="E4" t="inlineStr">
        <is>
          <t>2026-06-01</t>
        </is>
      </c>
      <c r="F4" t="inlineStr">
        <is>
          <t>2026-06-05</t>
        </is>
      </c>
      <c r="G4" t="n">
        <v>5</v>
      </c>
      <c r="H4" t="inlineStr">
        <is>
          <t>Vacation</t>
        </is>
      </c>
      <c r="I4" t="inlineStr">
        <is>
          <t>Approved</t>
        </is>
      </c>
      <c r="J4" t="inlineStr">
        <is>
          <t>Manager B</t>
        </is>
      </c>
      <c r="K4" t="inlineStr"/>
    </row>
  </sheetData>
  <conditionalFormatting sqref="I2:I1000">
    <cfRule type="cellIs" priority="1" operator="equal" dxfId="2">
      <formula>"Approved"</formula>
    </cfRule>
    <cfRule type="cellIs" priority="2" operator="equal" dxfId="1">
      <formula>"Pending"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</cols>
  <sheetData>
    <row r="1">
      <c r="A1" s="3" t="inlineStr">
        <is>
          <t>Metric</t>
        </is>
      </c>
      <c r="B1" s="3" t="inlineStr">
        <is>
          <t>Value</t>
        </is>
      </c>
    </row>
    <row r="2">
      <c r="A2" t="inlineStr">
        <is>
          <t>Total VDI Issues</t>
        </is>
      </c>
      <c r="B2">
        <f>COUNTA(VDI_Issue_Tracker!A2:A1000)</f>
        <v/>
      </c>
    </row>
    <row r="3">
      <c r="A3" t="inlineStr">
        <is>
          <t>Open VDI Issues</t>
        </is>
      </c>
      <c r="B3">
        <f>COUNTIF(VDI_Issue_Tracker!K2:K1000,"Open")</f>
        <v/>
      </c>
    </row>
    <row r="4">
      <c r="A4" t="inlineStr">
        <is>
          <t>Resolved VDI Issues</t>
        </is>
      </c>
      <c r="B4">
        <f>COUNTIF(VDI_Issue_Tracker!K2:K1000,"Resolved")</f>
        <v/>
      </c>
    </row>
    <row r="5">
      <c r="A5" t="inlineStr">
        <is>
          <t>High Severity Issues</t>
        </is>
      </c>
      <c r="B5">
        <f>COUNTIF(VDI_Issue_Tracker!J2:J1000,"High")</f>
        <v/>
      </c>
    </row>
    <row r="6">
      <c r="A6" t="inlineStr">
        <is>
          <t>Total Leave Requests</t>
        </is>
      </c>
      <c r="B6">
        <f>COUNTA(Leave_Tracker!A2:A1000)</f>
        <v/>
      </c>
    </row>
    <row r="7">
      <c r="A7" t="inlineStr">
        <is>
          <t>Approved Leaves</t>
        </is>
      </c>
      <c r="B7">
        <f>COUNTIF(Leave_Tracker!I2:I1000,"Approved")</f>
        <v/>
      </c>
    </row>
    <row r="8">
      <c r="A8" t="inlineStr">
        <is>
          <t>Pending Leaves</t>
        </is>
      </c>
      <c r="B8">
        <f>COUNTIF(Leave_Tracker!I2:I1000,"Pending")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2026-05-19T13:25:24Z</dcterms:created>
  <dcterms:modified xmlns:dcterms="http://purl.org/dc/terms/" xmlns:xsi="http://www.w3.org/2001/XMLSchema-instance" xsi:type="dcterms:W3CDTF">2026-05-19T13:25:24Z</dcterms:modified>
</cp:coreProperties>
</file>